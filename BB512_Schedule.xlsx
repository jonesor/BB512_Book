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<sst xmlns="http://schemas.openxmlformats.org/spreadsheetml/2006/main" count="236" uniqueCount="101">
  <si>
    <t xml:space="preserve">Part</t>
  </si>
  <si>
    <t xml:space="preserve">Day</t>
  </si>
  <si>
    <t xml:space="preserve">Session</t>
  </si>
  <si>
    <t xml:space="preserve">SessionPart</t>
  </si>
  <si>
    <t xml:space="preserve">Type</t>
  </si>
  <si>
    <t xml:space="preserve">Topic</t>
  </si>
  <si>
    <t xml:space="preserve">Required Reading</t>
  </si>
  <si>
    <t xml:space="preserve">Instructor</t>
  </si>
  <si>
    <t xml:space="preserve">Evolution by Natural Selection</t>
  </si>
  <si>
    <t xml:space="preserve">A</t>
  </si>
  <si>
    <t xml:space="preserve">Lecture</t>
  </si>
  <si>
    <t xml:space="preserve">Darwin and his theories (what is evolution)</t>
  </si>
  <si>
    <t xml:space="preserve">Neal 1 &amp; 2</t>
  </si>
  <si>
    <t xml:space="preserve">ORJ</t>
  </si>
  <si>
    <t xml:space="preserve">B</t>
  </si>
  <si>
    <t xml:space="preserve">Practical</t>
  </si>
  <si>
    <t xml:space="preserve">Exercise - The Blind Watchmaker</t>
  </si>
  <si>
    <t xml:space="preserve">Understanding Natural Selection</t>
  </si>
  <si>
    <t xml:space="preserve">Neal 3</t>
  </si>
  <si>
    <t xml:space="preserve">Exercise - Bug hunt camouflage (NetLogo)</t>
  </si>
  <si>
    <t xml:space="preserve">Population Growth Models</t>
  </si>
  <si>
    <t xml:space="preserve">Exponential growth</t>
  </si>
  <si>
    <t xml:space="preserve">Neal 4</t>
  </si>
  <si>
    <t xml:space="preserve">TBB</t>
  </si>
  <si>
    <t xml:space="preserve">Exercises - Geometric growth (in class); Stochastic growth (as homework)</t>
  </si>
  <si>
    <t xml:space="preserve">Logistic growth</t>
  </si>
  <si>
    <t xml:space="preserve">Neal 5</t>
  </si>
  <si>
    <t xml:space="preserve">Exercises - Basic logistic population growth (in class); Deeper into logistic growth (as homework)</t>
  </si>
  <si>
    <t xml:space="preserve">Life tables</t>
  </si>
  <si>
    <t xml:space="preserve">Neal 6</t>
  </si>
  <si>
    <t xml:space="preserve">Exercises - Life tables and survivorship types</t>
  </si>
  <si>
    <t xml:space="preserve">Age and Stage Structured Models</t>
  </si>
  <si>
    <t xml:space="preserve">Neal 7</t>
  </si>
  <si>
    <t xml:space="preserve">Exercises - Matrix population modeling</t>
  </si>
  <si>
    <t xml:space="preserve">Evolution of Life Histories</t>
  </si>
  <si>
    <t xml:space="preserve">Neal 8</t>
  </si>
  <si>
    <t xml:space="preserve">Exercises - How many eggs should a bird lay?; Trade-offs and the force of selection</t>
  </si>
  <si>
    <t xml:space="preserve">Population Genetics and Evolution</t>
  </si>
  <si>
    <t xml:space="preserve">The Hardy-Weinberg Principle</t>
  </si>
  <si>
    <t xml:space="preserve">Neal 9</t>
  </si>
  <si>
    <t xml:space="preserve">Exercises - Hardy-Weinberg equilibrium</t>
  </si>
  <si>
    <t xml:space="preserve">Mutation and Genetic Variance of Populations</t>
  </si>
  <si>
    <t xml:space="preserve">Neal 10</t>
  </si>
  <si>
    <t xml:space="preserve">Exercises - The gene pool model</t>
  </si>
  <si>
    <t xml:space="preserve">Genetic Drift and Effective Population Size</t>
  </si>
  <si>
    <t xml:space="preserve">Neal 11</t>
  </si>
  <si>
    <t xml:space="preserve">Practice Exam 1 (covering material until now)</t>
  </si>
  <si>
    <t xml:space="preserve">Inbreeding</t>
  </si>
  <si>
    <t xml:space="preserve">Neal 12</t>
  </si>
  <si>
    <t xml:space="preserve">Feedback on practice exam 1</t>
  </si>
  <si>
    <t xml:space="preserve">Migration, Gene Flow and Differentiation of Populations</t>
  </si>
  <si>
    <t xml:space="preserve">Neal 13</t>
  </si>
  <si>
    <t xml:space="preserve">Exercises - Neutral/adaptive in humans</t>
  </si>
  <si>
    <t xml:space="preserve">Haploid and Zygotic Selection </t>
  </si>
  <si>
    <t xml:space="preserve">Neal 14</t>
  </si>
  <si>
    <t xml:space="preserve">Practice written answer exam</t>
  </si>
  <si>
    <t xml:space="preserve">Polygenic Inheritance and Quantitative Genetics</t>
  </si>
  <si>
    <t xml:space="preserve">Neal 16 &amp; 17</t>
  </si>
  <si>
    <t xml:space="preserve">Exercises - Heritability from regression</t>
  </si>
  <si>
    <t xml:space="preserve">Interactions Between Species and Community Structure</t>
  </si>
  <si>
    <t xml:space="preserve">Competition 1 (Interspecific Competition)</t>
  </si>
  <si>
    <t xml:space="preserve">Neal 18</t>
  </si>
  <si>
    <t xml:space="preserve">Exercises on Lotka-Volterra competition</t>
  </si>
  <si>
    <t xml:space="preserve">Competition 2 (Interspecific Competition)</t>
  </si>
  <si>
    <t xml:space="preserve">Exercises on Lotka-Volterra competition (continued)</t>
  </si>
  <si>
    <t xml:space="preserve">Predation 1</t>
  </si>
  <si>
    <t xml:space="preserve">Neal 19</t>
  </si>
  <si>
    <t xml:space="preserve">Exercises on Lotka-Volterra predator-prey dynamics (part 1) </t>
  </si>
  <si>
    <t xml:space="preserve">Predation 2</t>
  </si>
  <si>
    <t xml:space="preserve">Exercises on Lotka-Volterra predator-prey dynamics (part 2) </t>
  </si>
  <si>
    <t xml:space="preserve">Interactions and community structure</t>
  </si>
  <si>
    <t xml:space="preserve">Neal 20</t>
  </si>
  <si>
    <t xml:space="preserve">Coevolution</t>
  </si>
  <si>
    <t xml:space="preserve">Stearns</t>
  </si>
  <si>
    <t xml:space="preserve">Practice Exam 2 (covering material until now).</t>
  </si>
  <si>
    <t xml:space="preserve">Animal behaviour, altruism and sexual selection</t>
  </si>
  <si>
    <t xml:space="preserve">Animal Behaviour, Altruism and Limiting Aggression</t>
  </si>
  <si>
    <t xml:space="preserve">Neal 21</t>
  </si>
  <si>
    <t xml:space="preserve">Exercises - Hawks and Doves</t>
  </si>
  <si>
    <t xml:space="preserve">Sexual Selection and Mating Systems</t>
  </si>
  <si>
    <t xml:space="preserve">Neal 22</t>
  </si>
  <si>
    <t xml:space="preserve">Feedback on practice exam 2</t>
  </si>
  <si>
    <t xml:space="preserve">BB512 – Teaching load summary</t>
  </si>
  <si>
    <t xml:space="preserve">Auto-calculated from the detailed schedule (Sheet1). Do not edit the numbers by hand – change Sheet1 instead.</t>
  </si>
  <si>
    <t xml:space="preserve">Lectures</t>
  </si>
  <si>
    <t xml:space="preserve">Practicals</t>
  </si>
  <si>
    <t xml:space="preserve">Total</t>
  </si>
  <si>
    <t xml:space="preserve">ORJ (Owen R Jones)</t>
  </si>
  <si>
    <t xml:space="preserve">TBB (Thomas)</t>
  </si>
  <si>
    <t xml:space="preserve">Unassigned (TBD)</t>
  </si>
  <si>
    <t xml:space="preserve">Check (should be 46):</t>
  </si>
  <si>
    <t xml:space="preserve">Status:</t>
  </si>
  <si>
    <t xml:space="preserve">Notes on the corrections made:</t>
  </si>
  <si>
    <t xml:space="preserve">• The previous Sheet2 was a manual count that had drifted from the actual schedule.</t>
  </si>
  <si>
    <t xml:space="preserve">   It showed TBB = 10 and ORJ = 13 (+1 "ORJ?") lectures, and 22 ORJ practicals.</t>
  </si>
  <si>
    <t xml:space="preserve">• The real schedule (Sheet1) has TBB = 8, ORJ = 15 lectures, and 21 ORJ practicals.</t>
  </si>
  <si>
    <t xml:space="preserve">• The old "ORJ?" entry corresponds to the one lecture with no instructor in Sheet1:</t>
  </si>
  <si>
    <t xml:space="preserve">   Day 23 / Session 45 (the Mon 30 Nov placeholder, which also has no topic).</t>
  </si>
  <si>
    <t xml:space="preserve">• Session 46 (its practical) is likewise unassigned. Both show as "Unassigned (TBD)".</t>
  </si>
  <si>
    <t xml:space="preserve">• If TBB is actually meant to teach 10 lectures, that change must be made in Sheet1 by</t>
  </si>
  <si>
    <t xml:space="preserve">   reassigning two specific lectures – confirm with Owen/Thomas which ones, then update Sheet1.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</si>
</sst>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3"/>
      <color rgb="FF2F5496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06060"/>
      </patternFill>
    </fill>
    <fill>
      <patternFill patternType="solid">
        <fgColor rgb="FFE8EEF7"/>
        <bgColor rgb="FFE2F0E2"/>
      </patternFill>
    </fill>
    <fill>
      <patternFill patternType="solid">
        <fgColor rgb="FFE2F0E2"/>
        <bgColor rgb="FFE8EEF7"/>
      </patternFill>
    </fill>
    <fill>
      <patternFill patternType="solid">
        <fgColor rgb="FFFBF3E0"/>
        <bgColor rgb="FFE8EEF7"/>
      </patternFill>
    </fill>
    <fill>
      <patternFill patternType="solid">
        <fgColor rgb="FFDDDDDD"/>
        <bgColor rgb="FFE2F0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0"/>
      <rgbColor rgb="FFE8EE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E2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2E7D32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B12" colorId="64" zoomScale="144" zoomScaleNormal="144" zoomScalePageLayoutView="100" workbookViewId="0">
      <selection pane="topLeft" activeCell="F27" activeCellId="0" sqref="F27"/>
    </sheetView>
  </sheetViews>
  <sheetFormatPr defaultColWidth="10.62109375" defaultRowHeight="15.75" zeroHeight="false" outlineLevelRow="0" outlineLevelCol="0"/>
  <cols>
    <col collapsed="false" customWidth="true" hidden="false" outlineLevel="0" max="2" min="1" style="0" width="47.83"/>
    <col collapsed="false" customWidth="true" hidden="false" outlineLevel="0" max="6" min="6" style="0" width="69.33"/>
    <col collapsed="false" customWidth="true" hidden="false" outlineLevel="0" max="7" min="7" style="0" width="15.66"/>
    <col collapsed="false" customWidth="true" hidden="false" outlineLevel="0" max="8" min="8" style="0" width="9"/>
    <col collapsed="false" customWidth="true" hidden="false" outlineLevel="0" max="11" min="11" style="0" width="48"/>
    <col collapsed="false" customWidth="true" hidden="false" outlineLevel="0" max="12" min="12" style="0" width="17.66"/>
  </cols>
  <sheetData>
    <row r="1" customFormat="false" ht="16.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.75" hidden="false" customHeight="false" outlineLevel="0" collapsed="false">
      <c r="A2" s="3" t="s">
        <v>8</v>
      </c>
      <c r="B2" s="3" t="n">
        <v>1</v>
      </c>
      <c r="C2" s="4" t="n">
        <v>1</v>
      </c>
      <c r="D2" s="4" t="s">
        <v>9</v>
      </c>
      <c r="E2" s="4" t="s">
        <v>10</v>
      </c>
      <c r="F2" s="5" t="s">
        <v>11</v>
      </c>
      <c r="G2" s="4" t="s">
        <v>12</v>
      </c>
      <c r="H2" s="4" t="s">
        <v>13</v>
      </c>
      <c r="K2" s="6"/>
      <c r="N2" s="6"/>
    </row>
    <row r="3" customFormat="false" ht="15.75" hidden="false" customHeight="false" outlineLevel="0" collapsed="false">
      <c r="A3" s="3"/>
      <c r="B3" s="3" t="n">
        <v>1</v>
      </c>
      <c r="C3" s="4" t="n">
        <v>2</v>
      </c>
      <c r="D3" s="4" t="s">
        <v>14</v>
      </c>
      <c r="E3" s="4" t="s">
        <v>15</v>
      </c>
      <c r="F3" s="7" t="s">
        <v>16</v>
      </c>
      <c r="G3" s="4"/>
      <c r="H3" s="4" t="s">
        <v>13</v>
      </c>
      <c r="K3" s="6"/>
    </row>
    <row r="4" customFormat="false" ht="15.75" hidden="false" customHeight="false" outlineLevel="0" collapsed="false">
      <c r="A4" s="3"/>
      <c r="B4" s="3" t="n">
        <v>2</v>
      </c>
      <c r="C4" s="4" t="n">
        <v>3</v>
      </c>
      <c r="D4" s="4" t="s">
        <v>9</v>
      </c>
      <c r="E4" s="4" t="s">
        <v>10</v>
      </c>
      <c r="F4" s="5" t="s">
        <v>17</v>
      </c>
      <c r="G4" s="4" t="s">
        <v>18</v>
      </c>
      <c r="H4" s="4" t="s">
        <v>13</v>
      </c>
      <c r="K4" s="6"/>
      <c r="M4" s="6"/>
    </row>
    <row r="5" customFormat="false" ht="16.5" hidden="false" customHeight="true" outlineLevel="0" collapsed="false">
      <c r="A5" s="8"/>
      <c r="B5" s="8" t="n">
        <v>2</v>
      </c>
      <c r="C5" s="9" t="n">
        <v>4</v>
      </c>
      <c r="D5" s="9" t="s">
        <v>14</v>
      </c>
      <c r="E5" s="9" t="s">
        <v>15</v>
      </c>
      <c r="F5" s="10" t="s">
        <v>19</v>
      </c>
      <c r="G5" s="9"/>
      <c r="H5" s="9" t="s">
        <v>13</v>
      </c>
      <c r="K5" s="6"/>
      <c r="M5" s="6"/>
    </row>
    <row r="6" customFormat="false" ht="15.75" hidden="false" customHeight="false" outlineLevel="0" collapsed="false">
      <c r="A6" s="3" t="s">
        <v>20</v>
      </c>
      <c r="B6" s="3" t="n">
        <v>3</v>
      </c>
      <c r="C6" s="4" t="n">
        <v>5</v>
      </c>
      <c r="D6" s="4" t="s">
        <v>9</v>
      </c>
      <c r="E6" s="4" t="s">
        <v>10</v>
      </c>
      <c r="F6" s="11" t="s">
        <v>21</v>
      </c>
      <c r="G6" s="4" t="s">
        <v>22</v>
      </c>
      <c r="H6" s="4" t="s">
        <v>23</v>
      </c>
      <c r="K6" s="6"/>
      <c r="L6" s="6"/>
      <c r="M6" s="6"/>
    </row>
    <row r="7" customFormat="false" ht="15.75" hidden="false" customHeight="false" outlineLevel="0" collapsed="false">
      <c r="A7" s="3"/>
      <c r="B7" s="3" t="n">
        <v>3</v>
      </c>
      <c r="C7" s="4" t="n">
        <v>6</v>
      </c>
      <c r="D7" s="4" t="s">
        <v>14</v>
      </c>
      <c r="E7" s="4" t="s">
        <v>15</v>
      </c>
      <c r="F7" s="7" t="s">
        <v>24</v>
      </c>
      <c r="G7" s="4"/>
      <c r="H7" s="4" t="s">
        <v>13</v>
      </c>
      <c r="K7" s="6"/>
      <c r="M7" s="6"/>
    </row>
    <row r="8" customFormat="false" ht="15.75" hidden="false" customHeight="false" outlineLevel="0" collapsed="false">
      <c r="A8" s="3"/>
      <c r="B8" s="3" t="n">
        <v>4</v>
      </c>
      <c r="C8" s="4" t="n">
        <v>7</v>
      </c>
      <c r="D8" s="4" t="s">
        <v>9</v>
      </c>
      <c r="E8" s="4" t="s">
        <v>10</v>
      </c>
      <c r="F8" s="11" t="s">
        <v>25</v>
      </c>
      <c r="G8" s="4" t="s">
        <v>26</v>
      </c>
      <c r="H8" s="4" t="s">
        <v>23</v>
      </c>
      <c r="K8" s="6"/>
    </row>
    <row r="9" customFormat="false" ht="15.75" hidden="false" customHeight="false" outlineLevel="0" collapsed="false">
      <c r="A9" s="3"/>
      <c r="B9" s="3" t="n">
        <v>4</v>
      </c>
      <c r="C9" s="4" t="n">
        <v>8</v>
      </c>
      <c r="D9" s="4" t="s">
        <v>14</v>
      </c>
      <c r="E9" s="4" t="s">
        <v>15</v>
      </c>
      <c r="F9" s="7" t="s">
        <v>27</v>
      </c>
      <c r="G9" s="4"/>
      <c r="H9" s="4" t="s">
        <v>13</v>
      </c>
      <c r="K9" s="6"/>
    </row>
    <row r="10" customFormat="false" ht="15.75" hidden="false" customHeight="false" outlineLevel="0" collapsed="false">
      <c r="A10" s="3"/>
      <c r="B10" s="3" t="n">
        <v>5</v>
      </c>
      <c r="C10" s="4" t="n">
        <v>9</v>
      </c>
      <c r="D10" s="4" t="s">
        <v>9</v>
      </c>
      <c r="E10" s="4" t="s">
        <v>10</v>
      </c>
      <c r="F10" s="11" t="s">
        <v>28</v>
      </c>
      <c r="G10" s="4" t="s">
        <v>29</v>
      </c>
      <c r="H10" s="4" t="s">
        <v>13</v>
      </c>
      <c r="K10" s="6"/>
    </row>
    <row r="11" customFormat="false" ht="15.75" hidden="false" customHeight="false" outlineLevel="0" collapsed="false">
      <c r="A11" s="3"/>
      <c r="B11" s="3" t="n">
        <v>5</v>
      </c>
      <c r="C11" s="4" t="n">
        <v>10</v>
      </c>
      <c r="D11" s="4" t="s">
        <v>14</v>
      </c>
      <c r="E11" s="4" t="s">
        <v>15</v>
      </c>
      <c r="F11" s="7" t="s">
        <v>30</v>
      </c>
      <c r="G11" s="4"/>
      <c r="H11" s="4" t="s">
        <v>13</v>
      </c>
      <c r="K11" s="6"/>
    </row>
    <row r="12" customFormat="false" ht="15.75" hidden="false" customHeight="false" outlineLevel="0" collapsed="false">
      <c r="A12" s="3"/>
      <c r="B12" s="3" t="n">
        <v>6</v>
      </c>
      <c r="C12" s="4" t="n">
        <v>11</v>
      </c>
      <c r="D12" s="4" t="s">
        <v>9</v>
      </c>
      <c r="E12" s="4" t="s">
        <v>10</v>
      </c>
      <c r="F12" s="11" t="s">
        <v>31</v>
      </c>
      <c r="G12" s="4" t="s">
        <v>32</v>
      </c>
      <c r="H12" s="4" t="s">
        <v>13</v>
      </c>
      <c r="K12" s="6"/>
    </row>
    <row r="13" customFormat="false" ht="15.75" hidden="false" customHeight="false" outlineLevel="0" collapsed="false">
      <c r="A13" s="3"/>
      <c r="B13" s="3" t="n">
        <v>6</v>
      </c>
      <c r="C13" s="4" t="n">
        <v>12</v>
      </c>
      <c r="D13" s="4" t="s">
        <v>14</v>
      </c>
      <c r="E13" s="4" t="s">
        <v>15</v>
      </c>
      <c r="F13" s="7" t="s">
        <v>33</v>
      </c>
      <c r="G13" s="4"/>
      <c r="H13" s="4" t="s">
        <v>13</v>
      </c>
      <c r="K13" s="6"/>
    </row>
    <row r="14" customFormat="false" ht="15.75" hidden="false" customHeight="false" outlineLevel="0" collapsed="false">
      <c r="A14" s="3"/>
      <c r="B14" s="3" t="n">
        <v>7</v>
      </c>
      <c r="C14" s="4" t="n">
        <v>13</v>
      </c>
      <c r="D14" s="4" t="s">
        <v>9</v>
      </c>
      <c r="E14" s="4" t="s">
        <v>10</v>
      </c>
      <c r="F14" s="11" t="s">
        <v>34</v>
      </c>
      <c r="G14" s="4" t="s">
        <v>35</v>
      </c>
      <c r="H14" s="4" t="s">
        <v>13</v>
      </c>
      <c r="K14" s="6"/>
    </row>
    <row r="15" customFormat="false" ht="16.5" hidden="false" customHeight="true" outlineLevel="0" collapsed="false">
      <c r="A15" s="8"/>
      <c r="B15" s="8" t="n">
        <v>7</v>
      </c>
      <c r="C15" s="9" t="n">
        <v>14</v>
      </c>
      <c r="D15" s="9" t="s">
        <v>14</v>
      </c>
      <c r="E15" s="9" t="s">
        <v>15</v>
      </c>
      <c r="F15" s="10" t="s">
        <v>36</v>
      </c>
      <c r="G15" s="9"/>
      <c r="H15" s="9" t="s">
        <v>13</v>
      </c>
      <c r="K15" s="6"/>
    </row>
    <row r="16" customFormat="false" ht="15.75" hidden="false" customHeight="false" outlineLevel="0" collapsed="false">
      <c r="A16" s="3" t="s">
        <v>37</v>
      </c>
      <c r="B16" s="3" t="n">
        <v>8</v>
      </c>
      <c r="C16" s="4" t="n">
        <v>15</v>
      </c>
      <c r="D16" s="4" t="s">
        <v>9</v>
      </c>
      <c r="E16" s="4" t="s">
        <v>10</v>
      </c>
      <c r="F16" s="11" t="s">
        <v>38</v>
      </c>
      <c r="G16" s="4" t="s">
        <v>39</v>
      </c>
      <c r="H16" s="4" t="s">
        <v>13</v>
      </c>
      <c r="K16" s="6"/>
    </row>
    <row r="17" customFormat="false" ht="15.75" hidden="false" customHeight="false" outlineLevel="0" collapsed="false">
      <c r="A17" s="3"/>
      <c r="B17" s="3" t="n">
        <v>8</v>
      </c>
      <c r="C17" s="4" t="n">
        <v>16</v>
      </c>
      <c r="D17" s="4" t="s">
        <v>14</v>
      </c>
      <c r="E17" s="4" t="s">
        <v>15</v>
      </c>
      <c r="F17" s="7" t="s">
        <v>40</v>
      </c>
      <c r="G17" s="4"/>
      <c r="H17" s="4" t="s">
        <v>13</v>
      </c>
      <c r="K17" s="6"/>
    </row>
    <row r="18" customFormat="false" ht="15.75" hidden="false" customHeight="false" outlineLevel="0" collapsed="false">
      <c r="A18" s="3"/>
      <c r="B18" s="3" t="n">
        <v>9</v>
      </c>
      <c r="C18" s="4" t="n">
        <v>17</v>
      </c>
      <c r="D18" s="4" t="s">
        <v>9</v>
      </c>
      <c r="E18" s="4" t="s">
        <v>10</v>
      </c>
      <c r="F18" s="11" t="s">
        <v>41</v>
      </c>
      <c r="G18" s="4" t="s">
        <v>42</v>
      </c>
      <c r="H18" s="4" t="s">
        <v>13</v>
      </c>
      <c r="K18" s="6"/>
    </row>
    <row r="19" customFormat="false" ht="15.75" hidden="false" customHeight="false" outlineLevel="0" collapsed="false">
      <c r="A19" s="3"/>
      <c r="B19" s="3" t="n">
        <v>9</v>
      </c>
      <c r="C19" s="4" t="n">
        <v>18</v>
      </c>
      <c r="D19" s="4" t="s">
        <v>14</v>
      </c>
      <c r="E19" s="4" t="s">
        <v>15</v>
      </c>
      <c r="F19" s="7" t="s">
        <v>43</v>
      </c>
      <c r="G19" s="4"/>
      <c r="H19" s="4" t="s">
        <v>13</v>
      </c>
      <c r="K19" s="6"/>
    </row>
    <row r="20" customFormat="false" ht="15.75" hidden="false" customHeight="false" outlineLevel="0" collapsed="false">
      <c r="A20" s="3"/>
      <c r="B20" s="3" t="n">
        <v>10</v>
      </c>
      <c r="C20" s="4" t="n">
        <v>19</v>
      </c>
      <c r="D20" s="4" t="s">
        <v>9</v>
      </c>
      <c r="E20" s="4" t="s">
        <v>10</v>
      </c>
      <c r="F20" s="11" t="s">
        <v>44</v>
      </c>
      <c r="G20" s="4" t="s">
        <v>45</v>
      </c>
      <c r="H20" s="4" t="s">
        <v>13</v>
      </c>
      <c r="N20" s="6"/>
    </row>
    <row r="21" customFormat="false" ht="15.75" hidden="false" customHeight="false" outlineLevel="0" collapsed="false">
      <c r="A21" s="3"/>
      <c r="B21" s="3" t="n">
        <v>10</v>
      </c>
      <c r="C21" s="4" t="n">
        <v>20</v>
      </c>
      <c r="D21" s="4" t="s">
        <v>14</v>
      </c>
      <c r="E21" s="4" t="s">
        <v>15</v>
      </c>
      <c r="F21" s="7" t="s">
        <v>46</v>
      </c>
      <c r="H21" s="4" t="s">
        <v>13</v>
      </c>
    </row>
    <row r="22" customFormat="false" ht="15.75" hidden="false" customHeight="false" outlineLevel="0" collapsed="false">
      <c r="A22" s="3"/>
      <c r="B22" s="3" t="n">
        <v>11</v>
      </c>
      <c r="C22" s="4" t="n">
        <v>21</v>
      </c>
      <c r="D22" s="4" t="s">
        <v>9</v>
      </c>
      <c r="E22" s="4" t="s">
        <v>10</v>
      </c>
      <c r="F22" s="11" t="s">
        <v>47</v>
      </c>
      <c r="G22" s="4" t="s">
        <v>48</v>
      </c>
      <c r="H22" s="4" t="s">
        <v>13</v>
      </c>
    </row>
    <row r="23" customFormat="false" ht="15.75" hidden="false" customHeight="false" outlineLevel="0" collapsed="false">
      <c r="A23" s="3"/>
      <c r="B23" s="3" t="n">
        <v>11</v>
      </c>
      <c r="C23" s="4" t="n">
        <v>22</v>
      </c>
      <c r="D23" s="4" t="s">
        <v>14</v>
      </c>
      <c r="E23" s="4" t="s">
        <v>15</v>
      </c>
      <c r="F23" s="7" t="s">
        <v>49</v>
      </c>
      <c r="H23" s="4" t="s">
        <v>13</v>
      </c>
    </row>
    <row r="24" customFormat="false" ht="15.75" hidden="false" customHeight="false" outlineLevel="0" collapsed="false">
      <c r="A24" s="3"/>
      <c r="B24" s="3" t="n">
        <v>12</v>
      </c>
      <c r="C24" s="4" t="n">
        <v>23</v>
      </c>
      <c r="D24" s="4" t="s">
        <v>9</v>
      </c>
      <c r="E24" s="4" t="s">
        <v>10</v>
      </c>
      <c r="F24" s="5" t="s">
        <v>50</v>
      </c>
      <c r="G24" s="4" t="s">
        <v>51</v>
      </c>
      <c r="H24" s="4" t="s">
        <v>13</v>
      </c>
      <c r="K24" s="6"/>
    </row>
    <row r="25" customFormat="false" ht="15.75" hidden="false" customHeight="false" outlineLevel="0" collapsed="false">
      <c r="A25" s="3"/>
      <c r="B25" s="3" t="n">
        <v>12</v>
      </c>
      <c r="C25" s="4" t="n">
        <v>24</v>
      </c>
      <c r="D25" s="4" t="s">
        <v>14</v>
      </c>
      <c r="E25" s="4" t="s">
        <v>15</v>
      </c>
      <c r="F25" s="7" t="s">
        <v>52</v>
      </c>
      <c r="G25" s="4"/>
      <c r="H25" s="4" t="s">
        <v>13</v>
      </c>
      <c r="K25" s="6"/>
    </row>
    <row r="26" customFormat="false" ht="15.75" hidden="false" customHeight="false" outlineLevel="0" collapsed="false">
      <c r="A26" s="3"/>
      <c r="B26" s="3" t="n">
        <v>13</v>
      </c>
      <c r="C26" s="4" t="n">
        <v>25</v>
      </c>
      <c r="D26" s="4" t="s">
        <v>9</v>
      </c>
      <c r="E26" s="4" t="s">
        <v>10</v>
      </c>
      <c r="F26" s="5" t="s">
        <v>53</v>
      </c>
      <c r="G26" s="4" t="s">
        <v>54</v>
      </c>
      <c r="H26" s="4" t="s">
        <v>13</v>
      </c>
      <c r="K26" s="6"/>
    </row>
    <row r="27" customFormat="false" ht="15.75" hidden="false" customHeight="false" outlineLevel="0" collapsed="false">
      <c r="A27" s="3"/>
      <c r="B27" s="3" t="n">
        <v>13</v>
      </c>
      <c r="C27" s="4" t="n">
        <v>26</v>
      </c>
      <c r="D27" s="4" t="s">
        <v>14</v>
      </c>
      <c r="E27" s="4" t="s">
        <v>15</v>
      </c>
      <c r="F27" s="4" t="s">
        <v>55</v>
      </c>
      <c r="G27" s="4"/>
      <c r="H27" s="4" t="s">
        <v>13</v>
      </c>
      <c r="K27" s="6"/>
    </row>
    <row r="28" customFormat="false" ht="15.75" hidden="false" customHeight="false" outlineLevel="0" collapsed="false">
      <c r="A28" s="3"/>
      <c r="B28" s="3" t="n">
        <v>14</v>
      </c>
      <c r="C28" s="4" t="n">
        <v>27</v>
      </c>
      <c r="D28" s="4" t="s">
        <v>9</v>
      </c>
      <c r="E28" s="4" t="s">
        <v>10</v>
      </c>
      <c r="F28" s="5" t="s">
        <v>56</v>
      </c>
      <c r="G28" s="4" t="s">
        <v>57</v>
      </c>
      <c r="H28" s="4" t="s">
        <v>13</v>
      </c>
      <c r="K28" s="6"/>
      <c r="N28" s="6"/>
    </row>
    <row r="29" customFormat="false" ht="16.5" hidden="false" customHeight="true" outlineLevel="0" collapsed="false">
      <c r="A29" s="8"/>
      <c r="B29" s="8" t="n">
        <v>14</v>
      </c>
      <c r="C29" s="9" t="n">
        <v>28</v>
      </c>
      <c r="D29" s="9" t="s">
        <v>14</v>
      </c>
      <c r="E29" s="9" t="s">
        <v>15</v>
      </c>
      <c r="F29" s="9" t="s">
        <v>58</v>
      </c>
      <c r="G29" s="9"/>
      <c r="H29" s="9" t="s">
        <v>13</v>
      </c>
      <c r="K29" s="6"/>
    </row>
    <row r="30" customFormat="false" ht="15.75" hidden="false" customHeight="false" outlineLevel="0" collapsed="false">
      <c r="A30" s="3" t="s">
        <v>59</v>
      </c>
      <c r="B30" s="3" t="n">
        <v>15</v>
      </c>
      <c r="C30" s="4" t="n">
        <v>29</v>
      </c>
      <c r="D30" s="4" t="s">
        <v>9</v>
      </c>
      <c r="E30" s="4" t="s">
        <v>10</v>
      </c>
      <c r="F30" s="11" t="s">
        <v>60</v>
      </c>
      <c r="G30" s="4" t="s">
        <v>61</v>
      </c>
      <c r="H30" s="4" t="s">
        <v>23</v>
      </c>
      <c r="K30" s="6"/>
    </row>
    <row r="31" customFormat="false" ht="15.75" hidden="false" customHeight="false" outlineLevel="0" collapsed="false">
      <c r="A31" s="3"/>
      <c r="B31" s="3" t="n">
        <v>15</v>
      </c>
      <c r="C31" s="4" t="n">
        <v>30</v>
      </c>
      <c r="D31" s="4" t="s">
        <v>14</v>
      </c>
      <c r="E31" s="4" t="s">
        <v>15</v>
      </c>
      <c r="F31" s="7" t="s">
        <v>62</v>
      </c>
      <c r="G31" s="4"/>
      <c r="H31" s="4" t="s">
        <v>13</v>
      </c>
      <c r="K31" s="6"/>
    </row>
    <row r="32" customFormat="false" ht="15.75" hidden="false" customHeight="false" outlineLevel="0" collapsed="false">
      <c r="B32" s="3" t="n">
        <v>16</v>
      </c>
      <c r="C32" s="4" t="n">
        <v>31</v>
      </c>
      <c r="D32" s="4" t="s">
        <v>9</v>
      </c>
      <c r="E32" s="4" t="s">
        <v>10</v>
      </c>
      <c r="F32" s="11" t="s">
        <v>63</v>
      </c>
      <c r="G32" s="4" t="s">
        <v>61</v>
      </c>
      <c r="H32" s="4" t="s">
        <v>23</v>
      </c>
      <c r="K32" s="6"/>
    </row>
    <row r="33" customFormat="false" ht="15.75" hidden="false" customHeight="false" outlineLevel="0" collapsed="false">
      <c r="A33" s="3"/>
      <c r="B33" s="3" t="n">
        <v>16</v>
      </c>
      <c r="C33" s="4" t="n">
        <v>32</v>
      </c>
      <c r="D33" s="4" t="s">
        <v>14</v>
      </c>
      <c r="E33" s="4" t="s">
        <v>15</v>
      </c>
      <c r="F33" s="7" t="s">
        <v>64</v>
      </c>
      <c r="G33" s="4"/>
      <c r="H33" s="4" t="s">
        <v>13</v>
      </c>
      <c r="K33" s="6"/>
    </row>
    <row r="34" customFormat="false" ht="15.75" hidden="false" customHeight="false" outlineLevel="0" collapsed="false">
      <c r="A34" s="3"/>
      <c r="B34" s="3" t="n">
        <v>17</v>
      </c>
      <c r="C34" s="4" t="n">
        <v>33</v>
      </c>
      <c r="D34" s="4" t="s">
        <v>9</v>
      </c>
      <c r="E34" s="4" t="s">
        <v>10</v>
      </c>
      <c r="F34" s="11" t="s">
        <v>65</v>
      </c>
      <c r="G34" s="4" t="s">
        <v>66</v>
      </c>
      <c r="H34" s="4" t="s">
        <v>23</v>
      </c>
      <c r="K34" s="6"/>
    </row>
    <row r="35" customFormat="false" ht="15.75" hidden="false" customHeight="false" outlineLevel="0" collapsed="false">
      <c r="A35" s="3"/>
      <c r="B35" s="3" t="n">
        <v>17</v>
      </c>
      <c r="C35" s="4" t="n">
        <v>34</v>
      </c>
      <c r="D35" s="4" t="s">
        <v>14</v>
      </c>
      <c r="E35" s="4" t="s">
        <v>15</v>
      </c>
      <c r="F35" s="7" t="s">
        <v>67</v>
      </c>
      <c r="G35" s="4"/>
      <c r="H35" s="4" t="s">
        <v>13</v>
      </c>
      <c r="K35" s="12"/>
    </row>
    <row r="36" customFormat="false" ht="15.75" hidden="false" customHeight="false" outlineLevel="0" collapsed="false">
      <c r="A36" s="3"/>
      <c r="B36" s="3" t="n">
        <v>18</v>
      </c>
      <c r="C36" s="4" t="n">
        <v>35</v>
      </c>
      <c r="D36" s="4" t="s">
        <v>9</v>
      </c>
      <c r="E36" s="4" t="s">
        <v>10</v>
      </c>
      <c r="F36" s="11" t="s">
        <v>68</v>
      </c>
      <c r="G36" s="4" t="s">
        <v>66</v>
      </c>
      <c r="H36" s="4" t="s">
        <v>23</v>
      </c>
      <c r="K36" s="6"/>
    </row>
    <row r="37" customFormat="false" ht="15.75" hidden="false" customHeight="false" outlineLevel="0" collapsed="false">
      <c r="A37" s="3"/>
      <c r="B37" s="3" t="n">
        <v>18</v>
      </c>
      <c r="C37" s="4" t="n">
        <v>36</v>
      </c>
      <c r="D37" s="4" t="s">
        <v>14</v>
      </c>
      <c r="E37" s="4" t="s">
        <v>15</v>
      </c>
      <c r="F37" s="7" t="s">
        <v>69</v>
      </c>
      <c r="G37" s="4"/>
      <c r="H37" s="4" t="s">
        <v>13</v>
      </c>
      <c r="K37" s="12"/>
    </row>
    <row r="38" customFormat="false" ht="15.75" hidden="false" customHeight="false" outlineLevel="0" collapsed="false">
      <c r="A38" s="3"/>
      <c r="B38" s="3" t="n">
        <v>19</v>
      </c>
      <c r="C38" s="4" t="n">
        <v>37</v>
      </c>
      <c r="D38" s="4" t="s">
        <v>9</v>
      </c>
      <c r="E38" s="4" t="s">
        <v>10</v>
      </c>
      <c r="F38" s="11" t="s">
        <v>70</v>
      </c>
      <c r="G38" s="4" t="s">
        <v>71</v>
      </c>
      <c r="H38" s="4" t="s">
        <v>23</v>
      </c>
      <c r="K38" s="6"/>
      <c r="N38" s="6"/>
    </row>
    <row r="39" customFormat="false" ht="15.75" hidden="false" customHeight="false" outlineLevel="0" collapsed="false">
      <c r="A39" s="3"/>
      <c r="B39" s="3" t="n">
        <v>19</v>
      </c>
      <c r="C39" s="4" t="n">
        <v>38</v>
      </c>
      <c r="D39" s="4" t="s">
        <v>14</v>
      </c>
      <c r="E39" s="4" t="s">
        <v>10</v>
      </c>
      <c r="F39" s="11" t="s">
        <v>70</v>
      </c>
      <c r="G39" s="4"/>
      <c r="H39" s="4" t="s">
        <v>23</v>
      </c>
      <c r="K39" s="6"/>
    </row>
    <row r="40" customFormat="false" ht="15.75" hidden="false" customHeight="false" outlineLevel="0" collapsed="false">
      <c r="B40" s="3" t="n">
        <v>20</v>
      </c>
      <c r="C40" s="4" t="n">
        <v>39</v>
      </c>
      <c r="D40" s="4" t="s">
        <v>9</v>
      </c>
      <c r="E40" s="4" t="s">
        <v>10</v>
      </c>
      <c r="F40" s="11" t="s">
        <v>72</v>
      </c>
      <c r="G40" s="3" t="s">
        <v>73</v>
      </c>
      <c r="H40" s="4" t="s">
        <v>13</v>
      </c>
      <c r="K40" s="6"/>
      <c r="N40" s="6"/>
    </row>
    <row r="41" customFormat="false" ht="16.5" hidden="false" customHeight="true" outlineLevel="0" collapsed="false">
      <c r="A41" s="13"/>
      <c r="B41" s="13" t="n">
        <v>20</v>
      </c>
      <c r="C41" s="9" t="n">
        <v>40</v>
      </c>
      <c r="D41" s="9" t="s">
        <v>14</v>
      </c>
      <c r="E41" s="9" t="s">
        <v>15</v>
      </c>
      <c r="F41" s="10" t="s">
        <v>74</v>
      </c>
      <c r="G41" s="13"/>
      <c r="H41" s="9" t="s">
        <v>13</v>
      </c>
      <c r="K41" s="6"/>
    </row>
    <row r="42" customFormat="false" ht="15.75" hidden="false" customHeight="false" outlineLevel="0" collapsed="false">
      <c r="A42" s="3" t="s">
        <v>75</v>
      </c>
      <c r="B42" s="0" t="n">
        <v>21</v>
      </c>
      <c r="C42" s="4" t="n">
        <v>41</v>
      </c>
      <c r="D42" s="4" t="s">
        <v>9</v>
      </c>
      <c r="E42" s="4" t="s">
        <v>10</v>
      </c>
      <c r="F42" s="11" t="s">
        <v>76</v>
      </c>
      <c r="G42" s="4" t="s">
        <v>77</v>
      </c>
      <c r="H42" s="4" t="s">
        <v>13</v>
      </c>
      <c r="K42" s="6"/>
    </row>
    <row r="43" customFormat="false" ht="15.75" hidden="false" customHeight="false" outlineLevel="0" collapsed="false">
      <c r="A43" s="3"/>
      <c r="B43" s="0" t="n">
        <v>21</v>
      </c>
      <c r="C43" s="4" t="n">
        <v>42</v>
      </c>
      <c r="D43" s="4" t="s">
        <v>14</v>
      </c>
      <c r="E43" s="4" t="s">
        <v>15</v>
      </c>
      <c r="F43" s="7" t="s">
        <v>78</v>
      </c>
      <c r="G43" s="4"/>
      <c r="H43" s="4" t="s">
        <v>13</v>
      </c>
      <c r="K43" s="6"/>
    </row>
    <row r="44" customFormat="false" ht="15.75" hidden="false" customHeight="false" outlineLevel="0" collapsed="false">
      <c r="A44" s="3"/>
      <c r="B44" s="0" t="n">
        <v>22</v>
      </c>
      <c r="C44" s="4" t="n">
        <v>43</v>
      </c>
      <c r="D44" s="4" t="s">
        <v>9</v>
      </c>
      <c r="E44" s="4" t="s">
        <v>10</v>
      </c>
      <c r="F44" s="11" t="s">
        <v>79</v>
      </c>
      <c r="G44" s="4" t="s">
        <v>80</v>
      </c>
      <c r="H44" s="4" t="s">
        <v>13</v>
      </c>
      <c r="K44" s="6"/>
      <c r="N44" s="6"/>
    </row>
    <row r="45" customFormat="false" ht="15.75" hidden="false" customHeight="false" outlineLevel="0" collapsed="false">
      <c r="A45" s="3"/>
      <c r="B45" s="0" t="n">
        <v>22</v>
      </c>
      <c r="C45" s="4" t="n">
        <v>44</v>
      </c>
      <c r="D45" s="4" t="s">
        <v>14</v>
      </c>
      <c r="E45" s="4" t="s">
        <v>15</v>
      </c>
      <c r="F45" s="7" t="s">
        <v>81</v>
      </c>
      <c r="G45" s="4"/>
      <c r="H45" s="4" t="s">
        <v>13</v>
      </c>
      <c r="K45" s="12"/>
    </row>
    <row r="46" customFormat="false" ht="15.75" hidden="false" customHeight="false" outlineLevel="0" collapsed="false">
      <c r="B46" s="0" t="n">
        <v>23</v>
      </c>
      <c r="C46" s="4" t="n">
        <v>45</v>
      </c>
      <c r="D46" s="4" t="s">
        <v>9</v>
      </c>
      <c r="E46" s="4" t="s">
        <v>10</v>
      </c>
      <c r="K46" s="6"/>
    </row>
    <row r="47" customFormat="false" ht="15.75" hidden="false" customHeight="false" outlineLevel="0" collapsed="false">
      <c r="B47" s="0" t="n">
        <v>23</v>
      </c>
      <c r="C47" s="4" t="n">
        <v>46</v>
      </c>
      <c r="D47" s="4" t="s">
        <v>14</v>
      </c>
      <c r="E47" s="4" t="s">
        <v>15</v>
      </c>
      <c r="K47" s="6"/>
    </row>
    <row r="48" customFormat="false" ht="15.75" hidden="false" customHeight="false" outlineLevel="0" collapsed="false">
      <c r="K48" s="6"/>
    </row>
    <row r="49" customFormat="false" ht="15.75" hidden="false" customHeight="false" outlineLevel="0" collapsed="false">
      <c r="K49" s="6"/>
    </row>
    <row r="51" customFormat="false" ht="15.75" hidden="false" customHeight="false" outlineLevel="0" collapsed="false">
      <c r="K51" s="6"/>
    </row>
  </sheetData>
  <conditionalFormatting sqref="E1:E1048576 G20">
    <cfRule type="cellIs" priority="2" operator="equal" aboveAverage="0" equalAverage="0" bottom="0" percent="0" rank="0" text="" dxfId="0">
      <formula>"Lecture"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14" t="s">
        <v>82</v>
      </c>
    </row>
    <row r="2" customFormat="false" ht="15" hidden="false" customHeight="false" outlineLevel="0" collapsed="false">
      <c r="A2" s="15" t="s">
        <v>83</v>
      </c>
    </row>
    <row r="4" customFormat="false" ht="15" hidden="false" customHeight="false" outlineLevel="0" collapsed="false">
      <c r="A4" s="16" t="s">
        <v>7</v>
      </c>
      <c r="B4" s="16" t="s">
        <v>84</v>
      </c>
      <c r="C4" s="16" t="s">
        <v>85</v>
      </c>
      <c r="D4" s="16" t="s">
        <v>86</v>
      </c>
    </row>
    <row r="5" customFormat="false" ht="15" hidden="false" customHeight="false" outlineLevel="0" collapsed="false">
      <c r="A5" s="17" t="s">
        <v>87</v>
      </c>
      <c r="B5" s="18" t="n">
        <f aca="false">COUNTIFS(Sheet1!$E$2:$E$47,"Lecture",Sheet1!$H$2:$H$47,"ORJ")</f>
        <v>15</v>
      </c>
      <c r="C5" s="18" t="n">
        <f aca="false">COUNTIFS(Sheet1!$E$2:$E$47,"Practical",Sheet1!$H$2:$H$47,"ORJ")</f>
        <v>21</v>
      </c>
      <c r="D5" s="19" t="n">
        <f aca="false">B5+C5</f>
        <v>36</v>
      </c>
    </row>
    <row r="6" customFormat="false" ht="15" hidden="false" customHeight="false" outlineLevel="0" collapsed="false">
      <c r="A6" s="20" t="s">
        <v>88</v>
      </c>
      <c r="B6" s="21" t="n">
        <f aca="false">COUNTIFS(Sheet1!$E$2:$E$47,"Lecture",Sheet1!$H$2:$H$47,"TBB")</f>
        <v>8</v>
      </c>
      <c r="C6" s="21" t="n">
        <f aca="false">COUNTIFS(Sheet1!$E$2:$E$47,"Practical",Sheet1!$H$2:$H$47,"TBB")</f>
        <v>0</v>
      </c>
      <c r="D6" s="22" t="n">
        <f aca="false">B6+C6</f>
        <v>8</v>
      </c>
    </row>
    <row r="7" customFormat="false" ht="15" hidden="false" customHeight="false" outlineLevel="0" collapsed="false">
      <c r="A7" s="23" t="s">
        <v>89</v>
      </c>
      <c r="B7" s="24" t="n">
        <f aca="false">B8-B5-B6</f>
        <v>1</v>
      </c>
      <c r="C7" s="24" t="n">
        <f aca="false">C8-C5-C6</f>
        <v>1</v>
      </c>
      <c r="D7" s="25" t="n">
        <f aca="false">B7+C7</f>
        <v>2</v>
      </c>
    </row>
    <row r="8" customFormat="false" ht="15" hidden="false" customHeight="false" outlineLevel="0" collapsed="false">
      <c r="A8" s="26" t="s">
        <v>86</v>
      </c>
      <c r="B8" s="27" t="n">
        <f aca="false">COUNTIF(Sheet1!$E$2:$E$47,"Lecture")</f>
        <v>24</v>
      </c>
      <c r="C8" s="27" t="n">
        <f aca="false">COUNTIF(Sheet1!$E$2:$E$47,"Practical")</f>
        <v>22</v>
      </c>
      <c r="D8" s="27" t="n">
        <f aca="false">B8+C8</f>
        <v>46</v>
      </c>
    </row>
    <row r="10" customFormat="false" ht="15" hidden="false" customHeight="false" outlineLevel="0" collapsed="false">
      <c r="A10" s="28" t="s">
        <v>90</v>
      </c>
      <c r="D10" s="29" t="n">
        <f aca="false">D8</f>
        <v>46</v>
      </c>
    </row>
    <row r="11" customFormat="false" ht="15" hidden="false" customHeight="false" outlineLevel="0" collapsed="false">
      <c r="A11" s="28" t="s">
        <v>91</v>
      </c>
      <c r="B11" s="30" t="str">
        <f aca="false">IF(D8=COUNTA(Sheet1!$C$2:$C$47),"OK – matches schedule","MISMATCH")</f>
        <v>OK – matches schedule</v>
      </c>
    </row>
    <row r="14" customFormat="false" ht="15" hidden="false" customHeight="false" outlineLevel="0" collapsed="false">
      <c r="A14" s="28" t="s">
        <v>92</v>
      </c>
    </row>
    <row r="15" customFormat="false" ht="15" hidden="false" customHeight="false" outlineLevel="0" collapsed="false">
      <c r="A15" s="31" t="s">
        <v>93</v>
      </c>
    </row>
    <row r="16" customFormat="false" ht="15" hidden="false" customHeight="false" outlineLevel="0" collapsed="false">
      <c r="A16" s="31" t="s">
        <v>94</v>
      </c>
    </row>
    <row r="17" customFormat="false" ht="15" hidden="false" customHeight="false" outlineLevel="0" collapsed="false">
      <c r="A17" s="31" t="s">
        <v>95</v>
      </c>
    </row>
    <row r="18" customFormat="false" ht="15" hidden="false" customHeight="false" outlineLevel="0" collapsed="false">
      <c r="A18" s="31" t="s">
        <v>96</v>
      </c>
    </row>
    <row r="19" customFormat="false" ht="15" hidden="false" customHeight="false" outlineLevel="0" collapsed="false">
      <c r="A19" s="31" t="s">
        <v>97</v>
      </c>
    </row>
    <row r="20" customFormat="false" ht="15" hidden="false" customHeight="false" outlineLevel="0" collapsed="false">
      <c r="A20" s="31" t="s">
        <v>98</v>
      </c>
    </row>
    <row r="21" customFormat="false" ht="15" hidden="false" customHeight="false" outlineLevel="0" collapsed="false">
      <c r="A21" s="31" t="s">
        <v>99</v>
      </c>
    </row>
    <row r="22" customFormat="false" ht="15" hidden="false" customHeight="false" outlineLevel="0" collapsed="false">
      <c r="A22" s="3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2020-08-28T12:09:49Z</dcterms:created>
  <dc:creator>Microsoft Office User</dc:creator>
  <dc:description/>
  <dc:language>en-US</dc:language>
  <cp:lastModifiedBy>Owen R. Jones</cp:lastModifiedBy>
  <dcterms:modified xsi:type="dcterms:W3CDTF">2026-06-30T12:43:43Z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